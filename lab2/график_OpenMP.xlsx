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source\repos\parallel programming\lab2\"/>
    </mc:Choice>
  </mc:AlternateContent>
  <xr:revisionPtr revIDLastSave="0" documentId="13_ncr:1_{310BB9E3-9397-4399-A97E-945CD04F76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A6" i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<sst xmlns="http://schemas.openxmlformats.org/spreadsheetml/2006/main" count="6" uniqueCount="5">
  <si>
    <t>Размер, (эл х эл)</t>
  </si>
  <si>
    <t>Время, мс</t>
  </si>
  <si>
    <t>Время OpenMP, мс</t>
  </si>
  <si>
    <t>Время MPI, мс</t>
  </si>
  <si>
    <t>Время CUDA,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</si>
</sst>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умножения от размера матрицы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Время, мс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  <c:pt idx="7">
                  <c:v>1250</c:v>
                </c:pt>
                <c:pt idx="8">
                  <c:v>1500</c:v>
                </c:pt>
                <c:pt idx="9">
                  <c:v>1750</c:v>
                </c:pt>
                <c:pt idx="10">
                  <c:v>2000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34</c:v>
                </c:pt>
                <c:pt idx="4">
                  <c:v>216</c:v>
                </c:pt>
                <c:pt idx="5">
                  <c:v>963</c:v>
                </c:pt>
                <c:pt idx="6">
                  <c:v>2358</c:v>
                </c:pt>
                <c:pt idx="7">
                  <c:v>4879</c:v>
                </c:pt>
                <c:pt idx="8">
                  <c:v>8936</c:v>
                </c:pt>
                <c:pt idx="9">
                  <c:v>15553</c:v>
                </c:pt>
                <c:pt idx="10">
                  <c:v>28753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AC-455F-9F70-8A98E066CF57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Время OpenMP, мс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  <c:pt idx="7">
                  <c:v>1250</c:v>
                </c:pt>
                <c:pt idx="8">
                  <c:v>1500</c:v>
                </c:pt>
                <c:pt idx="9">
                  <c:v>1750</c:v>
                </c:pt>
                <c:pt idx="10">
                  <c:v>2000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42</c:v>
                </c:pt>
                <c:pt idx="5">
                  <c:v>157</c:v>
                </c:pt>
                <c:pt idx="6">
                  <c:v>413</c:v>
                </c:pt>
                <c:pt idx="7">
                  <c:v>1976</c:v>
                </c:pt>
                <c:pt idx="8">
                  <c:v>1570</c:v>
                </c:pt>
                <c:pt idx="9">
                  <c:v>3681</c:v>
                </c:pt>
                <c:pt idx="10">
                  <c:v>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AC-455F-9F70-8A98E066C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736495"/>
        <c:axId val="12607273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Размер, (эл х эл)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5AC-455F-9F70-8A98E066CF57}"/>
                  </c:ext>
                </c:extLst>
              </c15:ser>
            </c15:filteredLineSeries>
          </c:ext>
        </c:extLst>
      </c:lineChart>
      <c:catAx>
        <c:axId val="126073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Размер, (эл х эл)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0727375"/>
        <c:crosses val="autoZero"/>
        <c:auto val="1"/>
        <c:lblAlgn val="ctr"/>
        <c:lblOffset val="100"/>
        <c:noMultiLvlLbl val="0"/>
      </c:catAx>
      <c:valAx>
        <c:axId val="12607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07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5</xdr:row>
      <xdr:rowOff>160020</xdr:rowOff>
    </xdr:from>
    <xdr:to>
      <xdr:col>14</xdr:col>
      <xdr:colOff>266700</xdr:colOff>
      <xdr:row>23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90FD48-2211-E7D3-A45F-8B6F91D5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16" sqref="C16"/>
    </sheetView>
  </sheetViews>
  <sheetFormatPr defaultRowHeight="14.4" x14ac:dyDescent="0.3"/>
  <cols>
    <col min="1" max="1" width="15.44140625" customWidth="1"/>
    <col min="2" max="2" width="14" customWidth="1"/>
    <col min="3" max="3" width="17.21875" bestFit="1" customWidth="1"/>
    <col min="4" max="4" width="15.441406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/>
    </row>
    <row r="2" spans="1:4" x14ac:dyDescent="0.3">
      <c r="A2" s="1">
        <v>10</v>
      </c>
      <c r="B2" s="1">
        <v>0</v>
      </c>
      <c r="C2" s="1">
        <v>0</v>
      </c>
    </row>
    <row r="3" spans="1:4" x14ac:dyDescent="0.3">
      <c r="A3" s="1">
        <v>50</v>
      </c>
      <c r="B3" s="1">
        <v>0</v>
      </c>
      <c r="C3" s="1">
        <v>0</v>
      </c>
    </row>
    <row r="4" spans="1:4" x14ac:dyDescent="0.3">
      <c r="A4" s="1">
        <v>100</v>
      </c>
      <c r="B4" s="1">
        <v>3</v>
      </c>
      <c r="C4" s="1">
        <v>0</v>
      </c>
    </row>
    <row r="5" spans="1:4" x14ac:dyDescent="0.3">
      <c r="A5" s="1">
        <v>250</v>
      </c>
      <c r="B5" s="1">
        <v>34</v>
      </c>
      <c r="C5" s="1">
        <v>7</v>
      </c>
    </row>
    <row r="6" spans="1:4" x14ac:dyDescent="0.3">
      <c r="A6" s="1">
        <f>A5+250</f>
        <v>500</v>
      </c>
      <c r="B6" s="1">
        <v>216</v>
      </c>
      <c r="C6" s="1">
        <v>42</v>
      </c>
    </row>
    <row r="7" spans="1:4" x14ac:dyDescent="0.3">
      <c r="A7" s="1">
        <f t="shared" ref="A7:A10" si="0">A6+250</f>
        <v>750</v>
      </c>
      <c r="B7" s="1">
        <v>963</v>
      </c>
      <c r="C7" s="1">
        <v>157</v>
      </c>
    </row>
    <row r="8" spans="1:4" x14ac:dyDescent="0.3">
      <c r="A8" s="1">
        <f t="shared" si="0"/>
        <v>1000</v>
      </c>
      <c r="B8" s="1">
        <v>2358</v>
      </c>
      <c r="C8" s="1">
        <v>413</v>
      </c>
    </row>
    <row r="9" spans="1:4" x14ac:dyDescent="0.3">
      <c r="A9" s="1">
        <f t="shared" si="0"/>
        <v>1250</v>
      </c>
      <c r="B9" s="1">
        <v>4879</v>
      </c>
      <c r="C9" s="1">
        <v>1976</v>
      </c>
    </row>
    <row r="10" spans="1:4" x14ac:dyDescent="0.3">
      <c r="A10" s="1">
        <f t="shared" si="0"/>
        <v>1500</v>
      </c>
      <c r="B10" s="1">
        <v>8936</v>
      </c>
      <c r="C10" s="1">
        <v>1570</v>
      </c>
    </row>
    <row r="11" spans="1:4" x14ac:dyDescent="0.3">
      <c r="A11" s="1">
        <f>A10+250</f>
        <v>1750</v>
      </c>
      <c r="B11" s="1">
        <v>15553</v>
      </c>
      <c r="C11" s="1">
        <v>3681</v>
      </c>
    </row>
    <row r="12" spans="1:4" x14ac:dyDescent="0.3">
      <c r="A12" s="1">
        <f t="shared" ref="A12" si="1">A11+250</f>
        <v>2000</v>
      </c>
      <c r="B12" s="1">
        <v>28753</v>
      </c>
      <c r="C12" s="1">
        <v>5402</v>
      </c>
    </row>
    <row r="15" spans="1:4" x14ac:dyDescent="0.3">
      <c r="A15" s="1" t="s">
        <v>0</v>
      </c>
      <c r="B15" s="1" t="s">
        <v>3</v>
      </c>
      <c r="C15" t="s">
        <v>4</v>
      </c>
    </row>
    <row r="16" spans="1:4" x14ac:dyDescent="0.3">
      <c r="A16">
        <v>100</v>
      </c>
      <c r="B16">
        <f>0.002635*1000</f>
        <v>2.6350000000000002</v>
      </c>
    </row>
    <row r="17" spans="1:2" x14ac:dyDescent="0.3">
      <c r="A17">
        <v>200</v>
      </c>
      <c r="B17">
        <f>0.019809*1000</f>
        <v>19.809000000000001</v>
      </c>
    </row>
    <row r="18" spans="1:2" x14ac:dyDescent="0.3">
      <c r="A18">
        <v>300</v>
      </c>
      <c r="B18">
        <f>0.0472262*1000</f>
        <v>47.226200000000006</v>
      </c>
    </row>
    <row r="19" spans="1:2" x14ac:dyDescent="0.3">
      <c r="A19">
        <v>400</v>
      </c>
      <c r="B19">
        <f>0.159812*1000</f>
        <v>159.81200000000001</v>
      </c>
    </row>
    <row r="20" spans="1:2" x14ac:dyDescent="0.3">
      <c r="A20">
        <v>500</v>
      </c>
      <c r="B20">
        <f>0.265982*1000</f>
        <v>265.98199999999997</v>
      </c>
    </row>
    <row r="21" spans="1:2" x14ac:dyDescent="0.3">
      <c r="A21">
        <v>1000</v>
      </c>
      <c r="B21">
        <f>2.19936*1000</f>
        <v>2199.36</v>
      </c>
    </row>
    <row r="22" spans="1:2" x14ac:dyDescent="0.3">
      <c r="A22">
        <v>1500</v>
      </c>
      <c r="B22">
        <f>8.02158*1000</f>
        <v>8021.58</v>
      </c>
    </row>
    <row r="23" spans="1:2" x14ac:dyDescent="0.3">
      <c r="A23">
        <v>2000</v>
      </c>
      <c r="B23">
        <f>18.6438*1000</f>
        <v>18643.8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Маркелов</dc:creator>
  <cp:lastModifiedBy>Родион Маркелов</cp:lastModifiedBy>
  <dcterms:created xsi:type="dcterms:W3CDTF">2015-06-05T18:17:20Z</dcterms:created>
  <dcterms:modified xsi:type="dcterms:W3CDTF">2025-05-13T16:08:04Z</dcterms:modified>
</cp:coreProperties>
</file>